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D13" i="1" l="1"/>
  <c r="C13" i="1"/>
  <c r="A13" i="1"/>
  <c r="F15" i="1"/>
  <c r="G15" i="1" s="1"/>
  <c r="F14" i="1"/>
  <c r="G14" i="1" s="1"/>
  <c r="F13" i="1"/>
  <c r="G13" i="1" s="1"/>
  <c r="D8" i="1"/>
  <c r="C8" i="1"/>
  <c r="F10" i="1"/>
  <c r="G10" i="1" s="1"/>
  <c r="F9" i="1"/>
  <c r="G9" i="1" s="1"/>
  <c r="F8" i="1" l="1"/>
  <c r="G8" i="1" s="1"/>
  <c r="F4" i="1"/>
  <c r="G4" i="1" s="1"/>
  <c r="F3" i="1"/>
  <c r="G3" i="1" s="1"/>
  <c r="F2" i="1"/>
  <c r="D2" i="1" l="1"/>
  <c r="G2" i="1" s="1"/>
  <c r="C2" i="1"/>
</calcChain>
</file>

<file path=xl/sharedStrings.xml><?xml version="1.0" encoding="utf-8"?>
<sst xmlns="http://schemas.openxmlformats.org/spreadsheetml/2006/main" count="7" uniqueCount="7">
  <si>
    <t>ширина робота</t>
  </si>
  <si>
    <t>Ширина ячейки</t>
  </si>
  <si>
    <t>скорость внешнего колеса</t>
  </si>
  <si>
    <t>скорость внутреннего колеса</t>
  </si>
  <si>
    <t>длина внешней дуги</t>
  </si>
  <si>
    <t>длина внутренней дуги</t>
  </si>
  <si>
    <t>диагональ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</si>
</sst>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17" sqref="D17"/>
    </sheetView>
  </sheetViews>
  <sheetFormatPr defaultRowHeight="15" x14ac:dyDescent="0.25"/>
  <cols>
    <col min="1" max="2" width="15.140625" bestFit="1" customWidth="1"/>
    <col min="3" max="3" width="20" bestFit="1" customWidth="1"/>
    <col min="4" max="4" width="22.7109375" bestFit="1" customWidth="1"/>
    <col min="5" max="5" width="25.7109375" bestFit="1" customWidth="1"/>
    <col min="6" max="6" width="28.28515625" bestFit="1" customWidth="1"/>
  </cols>
  <sheetData>
    <row r="1" spans="1:7" x14ac:dyDescent="0.25">
      <c r="A1" t="s">
        <v>1</v>
      </c>
      <c r="B1" t="s">
        <v>0</v>
      </c>
      <c r="C1" t="s">
        <v>4</v>
      </c>
      <c r="D1" t="s">
        <v>5</v>
      </c>
      <c r="E1" t="s">
        <v>2</v>
      </c>
      <c r="F1" t="s">
        <v>3</v>
      </c>
    </row>
    <row r="2" spans="1:7" x14ac:dyDescent="0.25">
      <c r="A2">
        <v>180</v>
      </c>
      <c r="B2">
        <v>76</v>
      </c>
      <c r="C2">
        <f>A2/2 + B2/2</f>
        <v>128</v>
      </c>
      <c r="D2">
        <f>A2/2 - B2/2</f>
        <v>52</v>
      </c>
      <c r="E2">
        <v>400</v>
      </c>
      <c r="F2">
        <f>$D$2 * E2 /$C$2</f>
        <v>162.5</v>
      </c>
      <c r="G2">
        <f>F2/E2</f>
        <v>0.40625</v>
      </c>
    </row>
    <row r="3" spans="1:7" x14ac:dyDescent="0.25">
      <c r="E3">
        <v>600</v>
      </c>
      <c r="F3">
        <f>$D$2 * E3 /$C$2</f>
        <v>243.75</v>
      </c>
      <c r="G3">
        <f>F3/E3</f>
        <v>0.40625</v>
      </c>
    </row>
    <row r="4" spans="1:7" x14ac:dyDescent="0.25">
      <c r="E4">
        <v>700</v>
      </c>
      <c r="F4">
        <f>$D$2 * E4 /$C$2</f>
        <v>284.375</v>
      </c>
      <c r="G4">
        <f>F4/E4</f>
        <v>0.40625</v>
      </c>
    </row>
    <row r="8" spans="1:7" x14ac:dyDescent="0.25">
      <c r="C8">
        <f>$A$2 + $B$2/2</f>
        <v>218</v>
      </c>
      <c r="D8">
        <f>$A$2 - $B$2/2</f>
        <v>142</v>
      </c>
      <c r="E8">
        <v>400</v>
      </c>
      <c r="F8">
        <f>$D$8 * E8 /$C$8</f>
        <v>260.55045871559633</v>
      </c>
      <c r="G8">
        <f>F8/E8</f>
        <v>0.65137614678899081</v>
      </c>
    </row>
    <row r="9" spans="1:7" x14ac:dyDescent="0.25">
      <c r="E9">
        <v>600</v>
      </c>
      <c r="F9">
        <f>$D$2 * E9 /$C$2</f>
        <v>243.75</v>
      </c>
      <c r="G9">
        <f>F9/E9</f>
        <v>0.40625</v>
      </c>
    </row>
    <row r="10" spans="1:7" x14ac:dyDescent="0.25">
      <c r="E10">
        <v>700</v>
      </c>
      <c r="F10">
        <f>$D$2 * E10 /$C$2</f>
        <v>284.375</v>
      </c>
      <c r="G10">
        <f>F10/E10</f>
        <v>0.40625</v>
      </c>
    </row>
    <row r="12" spans="1:7" x14ac:dyDescent="0.25">
      <c r="A12" t="s">
        <v>6</v>
      </c>
    </row>
    <row r="13" spans="1:7" x14ac:dyDescent="0.25">
      <c r="A13">
        <f>SQRT(2 *A2/2 *A2/2)</f>
        <v>127.27922061357856</v>
      </c>
      <c r="C13">
        <f>$A$13 + $B$2/2</f>
        <v>165.27922061357856</v>
      </c>
      <c r="D13">
        <f>$A$13 - $B$2/2</f>
        <v>89.279220613578559</v>
      </c>
      <c r="E13">
        <v>400</v>
      </c>
      <c r="F13">
        <f>$D$8 * E13 /$C$8</f>
        <v>260.55045871559633</v>
      </c>
      <c r="G13">
        <f>F13/E13</f>
        <v>0.65137614678899081</v>
      </c>
    </row>
    <row r="14" spans="1:7" x14ac:dyDescent="0.25">
      <c r="E14">
        <v>600</v>
      </c>
      <c r="F14">
        <f>$D$2 * E14 /$C$2</f>
        <v>243.75</v>
      </c>
      <c r="G14">
        <f>F14/E14</f>
        <v>0.40625</v>
      </c>
    </row>
    <row r="15" spans="1:7" x14ac:dyDescent="0.25">
      <c r="E15">
        <v>700</v>
      </c>
      <c r="F15">
        <f>$D$2 * E15 /$C$2</f>
        <v>284.375</v>
      </c>
      <c r="G15">
        <f>F15/E15</f>
        <v>0.40625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2025-10-30T11:47:48Z</dcterms:modified>
</cp:coreProperties>
</file>